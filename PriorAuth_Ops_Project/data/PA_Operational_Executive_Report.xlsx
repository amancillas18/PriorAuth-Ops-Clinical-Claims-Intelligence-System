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rug Class Summary" sheetId="2" state="visible" r:id="rId2"/>
    <sheet xmlns:r="http://schemas.openxmlformats.org/officeDocument/2006/relationships" name="Top Denial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10"/>
    </font>
    <font>
      <name val="Calibri"/>
      <b val="1"/>
      <color rgb="00C00000"/>
      <sz val="20"/>
    </font>
    <font>
      <name val="Calibri"/>
      <b val="1"/>
      <color rgb="00000000"/>
      <sz val="20"/>
    </font>
    <font>
      <name val="Calibri"/>
      <b val="1"/>
      <color rgb="004A90E2"/>
      <sz val="2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5" fillId="0" borderId="0" pivotButton="0" quotePrefix="0" xfId="0"/>
    <xf numFmtId="1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10" fontId="8" fillId="3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0" fontId="9" fillId="0" borderId="2" pivotButton="0" quotePrefix="0" xfId="0"/>
    <xf numFmtId="3" fontId="9" fillId="0" borderId="2" pivotButton="0" quotePrefix="0" xfId="0"/>
    <xf numFmtId="10" fontId="9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Prior Authorization Operational Performance Report</t>
        </is>
      </c>
    </row>
    <row r="3">
      <c r="B3" s="2" t="inlineStr">
        <is>
          <t>Enterprise Scale Executive Performance Analytics (10,000 Baseline Simulation)</t>
        </is>
      </c>
    </row>
    <row r="5">
      <c r="B5" s="3" t="inlineStr">
        <is>
          <t>Total Revenue Leakage</t>
        </is>
      </c>
      <c r="E5" s="3" t="inlineStr">
        <is>
          <t>Abandoned Specialty Claims</t>
        </is>
      </c>
      <c r="H5" s="3" t="inlineStr">
        <is>
          <t>Specialty Approval Rate</t>
        </is>
      </c>
    </row>
    <row r="6">
      <c r="B6" s="4" t="n">
        <v>1197600</v>
      </c>
      <c r="E6" s="5" t="n">
        <v>998</v>
      </c>
      <c r="H6" s="6" t="n">
        <v>0.5338000000000001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Operational Summary by Drug Class</t>
        </is>
      </c>
    </row>
    <row r="4">
      <c r="B4" s="7" t="inlineStr">
        <is>
          <t>Drug Class</t>
        </is>
      </c>
      <c r="C4" s="7" t="inlineStr">
        <is>
          <t>Total Submissions</t>
        </is>
      </c>
      <c r="D4" s="7" t="inlineStr">
        <is>
          <t>Total Approvals</t>
        </is>
      </c>
      <c r="E4" s="7" t="inlineStr">
        <is>
          <t>Approval Rate</t>
        </is>
      </c>
    </row>
    <row r="5">
      <c r="B5" s="8" t="inlineStr">
        <is>
          <t>Specialty</t>
        </is>
      </c>
      <c r="C5" s="9" t="n">
        <v>4322</v>
      </c>
      <c r="D5" s="9" t="n">
        <v>2307</v>
      </c>
      <c r="E5" s="10">
        <f>D5/C5</f>
        <v/>
      </c>
    </row>
    <row r="6">
      <c r="B6" s="11" t="inlineStr">
        <is>
          <t>Acute</t>
        </is>
      </c>
      <c r="C6" s="12" t="n">
        <v>1438</v>
      </c>
      <c r="D6" s="12" t="n">
        <v>1438</v>
      </c>
      <c r="E6" s="13">
        <f>D6/C6</f>
        <v/>
      </c>
    </row>
    <row r="7">
      <c r="B7" s="8" t="inlineStr">
        <is>
          <t>Maintenance</t>
        </is>
      </c>
      <c r="C7" s="9" t="n">
        <v>4240</v>
      </c>
      <c r="D7" s="9" t="n">
        <v>4240</v>
      </c>
      <c r="E7" s="10">
        <f>D7/C7</f>
        <v/>
      </c>
    </row>
    <row r="8">
      <c r="B8" s="14" t="inlineStr">
        <is>
          <t>Total / Average</t>
        </is>
      </c>
      <c r="C8" s="15">
        <f>SUM(C5:C7)</f>
        <v/>
      </c>
      <c r="D8" s="15">
        <f>SUM(D5:D7)</f>
        <v/>
      </c>
      <c r="E8" s="16">
        <f>D8/C8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Prior Authorization Denial Exceptions (&gt;20% Threshold)</t>
        </is>
      </c>
    </row>
    <row r="4">
      <c r="B4" s="7" t="inlineStr">
        <is>
          <t>Drug Name</t>
        </is>
      </c>
      <c r="C4" s="7" t="inlineStr">
        <is>
          <t>Total Claims</t>
        </is>
      </c>
      <c r="D4" s="7" t="inlineStr">
        <is>
          <t>Total Denials</t>
        </is>
      </c>
      <c r="E4" s="7" t="inlineStr">
        <is>
          <t>Denial Rate</t>
        </is>
      </c>
    </row>
    <row r="5">
      <c r="B5" s="8" t="inlineStr">
        <is>
          <t>Ozempic</t>
        </is>
      </c>
      <c r="C5" s="9" t="n">
        <v>1493</v>
      </c>
      <c r="D5" s="9" t="n">
        <v>376</v>
      </c>
      <c r="E5" s="10">
        <f>D5/C5</f>
        <v/>
      </c>
    </row>
    <row r="6">
      <c r="B6" s="11" t="inlineStr">
        <is>
          <t>Keytruda</t>
        </is>
      </c>
      <c r="C6" s="12" t="n">
        <v>1377</v>
      </c>
      <c r="D6" s="12" t="n">
        <v>315</v>
      </c>
      <c r="E6" s="13">
        <f>D6/C6</f>
        <v/>
      </c>
    </row>
    <row r="7">
      <c r="B7" s="8" t="inlineStr">
        <is>
          <t>Humira</t>
        </is>
      </c>
      <c r="C7" s="9" t="n">
        <v>1452</v>
      </c>
      <c r="D7" s="9" t="n">
        <v>326</v>
      </c>
      <c r="E7" s="10">
        <f>D7/C7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2026-05-16T01:51:17Z</dcterms:created>
  <dcterms:modified xmlns:dcterms="http://purl.org/dc/terms/" xmlns:xsi="http://www.w3.org/2001/XMLSchema-instance" xsi:type="dcterms:W3CDTF">2026-05-16T01:51:17Z</dcterms:modified>
</cp:coreProperties>
</file>